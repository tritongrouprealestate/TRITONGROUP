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ailability" sheetId="2" state="visible" r:id="rId2"/>
  </sheets>
  <definedNames>
    <definedName name="_xlnm._FilterDatabase" localSheetId="1" hidden="1">'Availability'!$A$7:$H$46</definedName>
    <definedName name="_xlnm.Print_Titles" localSheetId="1">'Availability'!$7:$7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0&quot; Cr&quot;"/>
    <numFmt numFmtId="166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b val="1"/>
      <color rgb="00FFFFFF"/>
      <sz val="10"/>
    </font>
    <font>
      <name val="Arial"/>
      <color rgb="00FFFFFF"/>
      <sz val="9"/>
    </font>
    <font>
      <name val="Arial"/>
      <b val="1"/>
      <color rgb="001F3A5F"/>
      <sz val="8.5"/>
    </font>
    <font>
      <name val="Arial"/>
      <b val="1"/>
      <color rgb="001F3A5F"/>
      <sz val="20"/>
    </font>
    <font>
      <name val="Arial"/>
      <b val="1"/>
      <color rgb="001B5E20"/>
      <sz val="8.5"/>
    </font>
    <font>
      <name val="Arial"/>
      <b val="1"/>
      <color rgb="001B5E20"/>
      <sz val="20"/>
    </font>
    <font>
      <name val="Arial"/>
      <b val="1"/>
      <color rgb="009A5B00"/>
      <sz val="8.5"/>
    </font>
    <font>
      <name val="Arial"/>
      <b val="1"/>
      <color rgb="009A5B00"/>
      <sz val="20"/>
    </font>
    <font>
      <name val="Arial"/>
      <b val="1"/>
      <color rgb="00A11C1C"/>
      <sz val="8.5"/>
    </font>
    <font>
      <name val="Arial"/>
      <b val="1"/>
      <color rgb="00A11C1C"/>
      <sz val="20"/>
    </font>
    <font>
      <name val="Arial"/>
      <b val="1"/>
      <color rgb="00FFFFFF"/>
      <sz val="9.5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B5E20"/>
      <sz val="10"/>
    </font>
    <font>
      <name val="Arial"/>
      <color rgb="009A5B00"/>
      <sz val="10"/>
    </font>
    <font>
      <name val="Arial"/>
      <color rgb="00A11C1C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i val="1"/>
      <color rgb="006B6F77"/>
      <sz val="9"/>
    </font>
    <font>
      <name val="Arial"/>
      <b val="1"/>
      <sz val="9.5"/>
    </font>
    <font>
      <name val="Arial"/>
      <color rgb="003A3D44"/>
      <sz val="9.5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A8762C"/>
      </patternFill>
    </fill>
    <fill>
      <patternFill patternType="solid">
        <fgColor rgb="00F4F5F7"/>
      </patternFill>
    </fill>
    <fill>
      <patternFill patternType="solid">
        <fgColor rgb="00E3F3E6"/>
      </patternFill>
    </fill>
    <fill>
      <patternFill patternType="solid">
        <fgColor rgb="00FDF3DC"/>
      </patternFill>
    </fill>
    <fill>
      <patternFill patternType="solid">
        <fgColor rgb="00FBE9E9"/>
      </patternFill>
    </fill>
    <fill>
      <patternFill patternType="solid">
        <fgColor rgb="00FFF6CC"/>
      </patternFill>
    </fill>
  </fills>
  <borders count="6">
    <border>
      <left/>
      <right/>
      <top/>
      <bottom/>
      <diagonal/>
    </border>
    <border>
      <left style="thin">
        <color rgb="00D6D9DE"/>
      </left>
      <right style="thin">
        <color rgb="00D6D9DE"/>
      </right>
      <top style="thin">
        <color rgb="00D6D9DE"/>
      </top>
      <bottom style="thin">
        <color rgb="00D6D9DE"/>
      </bottom>
    </border>
    <border>
      <left/>
      <right/>
      <top style="thin">
        <color rgb="00D6D9DE"/>
      </top>
      <bottom/>
      <diagonal/>
    </border>
    <border>
      <left/>
      <right style="thin">
        <color rgb="00D6D9DE"/>
      </right>
      <top style="thin">
        <color rgb="00D6D9DE"/>
      </top>
      <bottom/>
      <diagonal/>
    </border>
    <border>
      <left/>
      <right style="thin">
        <color rgb="00D6D9DE"/>
      </right>
      <top style="thin">
        <color rgb="00D6D9DE"/>
      </top>
      <bottom style="thin">
        <color rgb="00D6D9DE"/>
      </bottom>
      <diagonal/>
    </border>
    <border>
      <left/>
      <right/>
      <top style="thin">
        <color rgb="00D6D9DE"/>
      </top>
      <bottom style="thin">
        <color rgb="00D6D9DE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right" vertical="center" indent="1"/>
    </xf>
    <xf numFmtId="0" fontId="0" fillId="2" borderId="1" pivotButton="0" quotePrefix="0" xfId="0"/>
    <xf numFmtId="3" fontId="2" fillId="2" borderId="1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13" fillId="0" borderId="1" applyAlignment="1" pivotButton="0" quotePrefix="0" xfId="0">
      <alignment horizontal="center"/>
    </xf>
    <xf numFmtId="0" fontId="17" fillId="5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right" indent="1"/>
    </xf>
    <xf numFmtId="0" fontId="2" fillId="2" borderId="1" applyAlignment="1" pivotButton="0" quotePrefix="0" xfId="0">
      <alignment horizontal="left" indent="1"/>
    </xf>
    <xf numFmtId="0" fontId="2" fillId="2" borderId="1" applyAlignment="1" pivotButton="0" quotePrefix="0" xfId="0">
      <alignment horizontal="center" indent="1"/>
    </xf>
    <xf numFmtId="3" fontId="2" fillId="2" borderId="1" applyAlignment="1" pivotButton="0" quotePrefix="0" xfId="0">
      <alignment horizontal="right" indent="1"/>
    </xf>
    <xf numFmtId="0" fontId="13" fillId="0" borderId="1" pivotButton="0" quotePrefix="0" xfId="0"/>
    <xf numFmtId="3" fontId="20" fillId="0" borderId="1" applyAlignment="1" pivotButton="0" quotePrefix="0" xfId="0">
      <alignment horizontal="right" indent="1"/>
    </xf>
    <xf numFmtId="0" fontId="22" fillId="0" borderId="0" applyAlignment="1" pivotButton="0" quotePrefix="0" xfId="0">
      <alignment vertical="top" wrapText="1" indent="1"/>
    </xf>
    <xf numFmtId="164" fontId="21" fillId="8" borderId="1" applyAlignment="1" pivotButton="0" quotePrefix="0" xfId="0">
      <alignment horizontal="right" indent="1"/>
    </xf>
    <xf numFmtId="164" fontId="20" fillId="0" borderId="1" applyAlignment="1" pivotButton="0" quotePrefix="0" xfId="0">
      <alignment horizontal="right" indent="1"/>
    </xf>
    <xf numFmtId="165" fontId="20" fillId="0" borderId="1" applyAlignment="1" pivotButton="0" quotePrefix="0" xfId="0">
      <alignment horizontal="right" indent="1"/>
    </xf>
    <xf numFmtId="166" fontId="21" fillId="8" borderId="1" applyAlignment="1" pivotButton="0" quotePrefix="0" xfId="0">
      <alignment horizontal="right" indent="1"/>
    </xf>
    <xf numFmtId="0" fontId="23" fillId="0" borderId="0" pivotButton="0" quotePrefix="0" xfId="0"/>
    <xf numFmtId="0" fontId="24" fillId="0" borderId="0" applyAlignment="1" pivotButton="0" quotePrefix="0" xfId="0">
      <alignment vertical="center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ont>
        <name val="Arial"/>
        <color rgb="001B5E20"/>
        <sz val="10"/>
      </font>
      <fill>
        <patternFill patternType="solid">
          <fgColor rgb="00E3F3E6"/>
          <bgColor rgb="00E3F3E6"/>
        </patternFill>
      </fill>
    </dxf>
    <dxf>
      <font>
        <name val="Arial"/>
        <color rgb="009A5B00"/>
        <sz val="10"/>
      </font>
      <fill>
        <patternFill patternType="solid">
          <fgColor rgb="00FDF3DC"/>
          <bgColor rgb="00FDF3DC"/>
        </patternFill>
      </fill>
    </dxf>
    <dxf>
      <font>
        <name val="Arial"/>
        <color rgb="00A11C1C"/>
        <sz val="10"/>
      </font>
      <fill>
        <patternFill patternType="solid">
          <fgColor rgb="00FBE9E9"/>
          <bgColor rgb="00FBE9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Triton Group</author>
  </authors>
  <commentList>
    <comment ref="A23" authorId="0" shapeId="0">
      <text>
        <t>Carried over from the original availability sheet, which multiplied total area by 8,000 and took 3.5% of the result.
Both yellow cells are inputs — edit them and everything below recalculates.
Indicative only; the Cost Sheet is the authority on pricing.</t>
      </text>
    </comment>
  </commentList>
</comments>
</file>

<file path=xl/comments/comment2.xml><?xml version="1.0" encoding="utf-8"?>
<comments xmlns="http://schemas.openxmlformats.org/spreadsheetml/2006/main">
  <authors>
    <author>Triton Group</author>
  </authors>
  <commentList>
    <comment ref="G7" authorId="0" shapeId="0">
      <text>
        <t>Change a unit's status here using the drop-down: Available, Blocked or Sold.
The row colour, the counters at the top and the Summary tab all update on their own.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7" customWidth="1" min="7" max="7"/>
  </cols>
  <sheetData>
    <row r="1" ht="34" customHeight="1">
      <c r="A1" s="1" t="inlineStr">
        <is>
          <t>SANVI AERO GARDENS</t>
        </is>
      </c>
    </row>
    <row r="2" ht="19" customHeight="1">
      <c r="A2" s="23" t="inlineStr">
        <is>
          <t>Inventory Summary  —  every figure below is calculated from the Availability tab</t>
        </is>
      </c>
    </row>
    <row r="4">
      <c r="A4" s="24" t="inlineStr">
        <is>
          <t>INVENTORY BY UNIT TYPE</t>
        </is>
      </c>
    </row>
    <row r="5" ht="30" customHeight="1">
      <c r="A5" s="25" t="inlineStr">
        <is>
          <t>Unit Type</t>
        </is>
      </c>
      <c r="B5" s="25" t="inlineStr">
        <is>
          <t>Total Units</t>
        </is>
      </c>
      <c r="C5" s="25" t="inlineStr">
        <is>
          <t>Available</t>
        </is>
      </c>
      <c r="D5" s="25" t="inlineStr">
        <is>
          <t>Blocked</t>
        </is>
      </c>
      <c r="E5" s="25" t="inlineStr">
        <is>
          <t>Sold</t>
        </is>
      </c>
      <c r="F5" s="25" t="inlineStr">
        <is>
          <t>Total Area (Sq Ft)</t>
        </is>
      </c>
      <c r="G5" s="25" t="inlineStr">
        <is>
          <t>Available Area (Sq Ft)</t>
        </is>
      </c>
    </row>
    <row r="6" ht="19" customHeight="1">
      <c r="A6" s="26" t="inlineStr">
        <is>
          <t>1 BHK</t>
        </is>
      </c>
      <c r="B6" s="27">
        <f>COUNTIF(Availability!$D$8:$D$46,$A6)</f>
        <v/>
      </c>
      <c r="C6" s="28">
        <f>COUNTIFS(Availability!$D$8:$D$46,$A6,Availability!$G$8:$G$46,"Available")</f>
        <v/>
      </c>
      <c r="D6" s="29">
        <f>COUNTIFS(Availability!$D$8:$D$46,$A6,Availability!$G$8:$G$46,"Blocked")</f>
        <v/>
      </c>
      <c r="E6" s="30">
        <f>COUNTIFS(Availability!$D$8:$D$46,$A6,Availability!$G$8:$G$46,"Sold")</f>
        <v/>
      </c>
      <c r="F6" s="31">
        <f>SUMIF(Availability!$D$8:$D$46,$A6,Availability!$E$8:$E$46)</f>
        <v/>
      </c>
      <c r="G6" s="31">
        <f>SUMIFS(Availability!$E$8:$E$46,Availability!$D$8:$D$46,$A6,Availability!$G$8:$G$46,"Available")</f>
        <v/>
      </c>
    </row>
    <row r="7" ht="19" customHeight="1">
      <c r="A7" s="26" t="inlineStr">
        <is>
          <t>2 BHK</t>
        </is>
      </c>
      <c r="B7" s="27">
        <f>COUNTIF(Availability!$D$8:$D$46,$A7)</f>
        <v/>
      </c>
      <c r="C7" s="28">
        <f>COUNTIFS(Availability!$D$8:$D$46,$A7,Availability!$G$8:$G$46,"Available")</f>
        <v/>
      </c>
      <c r="D7" s="29">
        <f>COUNTIFS(Availability!$D$8:$D$46,$A7,Availability!$G$8:$G$46,"Blocked")</f>
        <v/>
      </c>
      <c r="E7" s="30">
        <f>COUNTIFS(Availability!$D$8:$D$46,$A7,Availability!$G$8:$G$46,"Sold")</f>
        <v/>
      </c>
      <c r="F7" s="31">
        <f>SUMIF(Availability!$D$8:$D$46,$A7,Availability!$E$8:$E$46)</f>
        <v/>
      </c>
      <c r="G7" s="31">
        <f>SUMIFS(Availability!$E$8:$E$46,Availability!$D$8:$D$46,$A7,Availability!$G$8:$G$46,"Available")</f>
        <v/>
      </c>
    </row>
    <row r="8" ht="19" customHeight="1">
      <c r="A8" s="26" t="inlineStr">
        <is>
          <t>3 BHK</t>
        </is>
      </c>
      <c r="B8" s="27">
        <f>COUNTIF(Availability!$D$8:$D$46,$A8)</f>
        <v/>
      </c>
      <c r="C8" s="28">
        <f>COUNTIFS(Availability!$D$8:$D$46,$A8,Availability!$G$8:$G$46,"Available")</f>
        <v/>
      </c>
      <c r="D8" s="29">
        <f>COUNTIFS(Availability!$D$8:$D$46,$A8,Availability!$G$8:$G$46,"Blocked")</f>
        <v/>
      </c>
      <c r="E8" s="30">
        <f>COUNTIFS(Availability!$D$8:$D$46,$A8,Availability!$G$8:$G$46,"Sold")</f>
        <v/>
      </c>
      <c r="F8" s="31">
        <f>SUMIF(Availability!$D$8:$D$46,$A8,Availability!$E$8:$E$46)</f>
        <v/>
      </c>
      <c r="G8" s="31">
        <f>SUMIFS(Availability!$E$8:$E$46,Availability!$D$8:$D$46,$A8,Availability!$G$8:$G$46,"Available")</f>
        <v/>
      </c>
    </row>
    <row r="9" ht="21" customHeight="1">
      <c r="A9" s="32" t="inlineStr">
        <is>
          <t>TOTAL</t>
        </is>
      </c>
      <c r="B9" s="33">
        <f>SUM(B6:B8)</f>
        <v/>
      </c>
      <c r="C9" s="33">
        <f>SUM(C6:C8)</f>
        <v/>
      </c>
      <c r="D9" s="33">
        <f>SUM(D6:D8)</f>
        <v/>
      </c>
      <c r="E9" s="33">
        <f>SUM(E6:E8)</f>
        <v/>
      </c>
      <c r="F9" s="34">
        <f>SUM(F6:F8)</f>
        <v/>
      </c>
      <c r="G9" s="34">
        <f>SUM(G6:G8)</f>
        <v/>
      </c>
    </row>
    <row r="11">
      <c r="A11" s="24" t="inlineStr">
        <is>
          <t>AVAILABLE UNITS BY FLOOR</t>
        </is>
      </c>
    </row>
    <row r="12" ht="30" customHeight="1">
      <c r="A12" s="25" t="inlineStr">
        <is>
          <t>Floor</t>
        </is>
      </c>
      <c r="B12" s="25" t="inlineStr">
        <is>
          <t>Total Units</t>
        </is>
      </c>
      <c r="C12" s="25" t="inlineStr">
        <is>
          <t>Available</t>
        </is>
      </c>
      <c r="D12" s="25" t="inlineStr">
        <is>
          <t>Blocked</t>
        </is>
      </c>
      <c r="E12" s="25" t="inlineStr">
        <is>
          <t>Sold</t>
        </is>
      </c>
      <c r="F12" s="25" t="inlineStr">
        <is>
          <t>Available Area (Sq Ft)</t>
        </is>
      </c>
    </row>
    <row r="13" ht="18" customHeight="1">
      <c r="A13" s="27" t="inlineStr">
        <is>
          <t>Ground</t>
        </is>
      </c>
      <c r="B13" s="27">
        <f>COUNTIF(Availability!$C$8:$C$46,$A13)</f>
        <v/>
      </c>
      <c r="C13" s="28">
        <f>COUNTIFS(Availability!$C$8:$C$46,$A13,Availability!$G$8:$G$46,"Available")</f>
        <v/>
      </c>
      <c r="D13" s="27">
        <f>COUNTIFS(Availability!$C$8:$C$46,$A13,Availability!$G$8:$G$46,"Blocked")</f>
        <v/>
      </c>
      <c r="E13" s="27">
        <f>COUNTIFS(Availability!$C$8:$C$46,$A13,Availability!$G$8:$G$46,"Sold")</f>
        <v/>
      </c>
      <c r="F13" s="31">
        <f>SUMIFS(Availability!$E$8:$E$46,Availability!$C$8:$C$46,$A13,Availability!$G$8:$G$46,"Available")</f>
        <v/>
      </c>
    </row>
    <row r="14" ht="18" customHeight="1">
      <c r="A14" s="27" t="n">
        <v>1</v>
      </c>
      <c r="B14" s="27">
        <f>COUNTIF(Availability!$C$8:$C$46,$A14)</f>
        <v/>
      </c>
      <c r="C14" s="28">
        <f>COUNTIFS(Availability!$C$8:$C$46,$A14,Availability!$G$8:$G$46,"Available")</f>
        <v/>
      </c>
      <c r="D14" s="27">
        <f>COUNTIFS(Availability!$C$8:$C$46,$A14,Availability!$G$8:$G$46,"Blocked")</f>
        <v/>
      </c>
      <c r="E14" s="27">
        <f>COUNTIFS(Availability!$C$8:$C$46,$A14,Availability!$G$8:$G$46,"Sold")</f>
        <v/>
      </c>
      <c r="F14" s="31">
        <f>SUMIFS(Availability!$E$8:$E$46,Availability!$C$8:$C$46,$A14,Availability!$G$8:$G$46,"Available")</f>
        <v/>
      </c>
    </row>
    <row r="15" ht="18" customHeight="1">
      <c r="A15" s="27" t="n">
        <v>2</v>
      </c>
      <c r="B15" s="27">
        <f>COUNTIF(Availability!$C$8:$C$46,$A15)</f>
        <v/>
      </c>
      <c r="C15" s="28">
        <f>COUNTIFS(Availability!$C$8:$C$46,$A15,Availability!$G$8:$G$46,"Available")</f>
        <v/>
      </c>
      <c r="D15" s="27">
        <f>COUNTIFS(Availability!$C$8:$C$46,$A15,Availability!$G$8:$G$46,"Blocked")</f>
        <v/>
      </c>
      <c r="E15" s="27">
        <f>COUNTIFS(Availability!$C$8:$C$46,$A15,Availability!$G$8:$G$46,"Sold")</f>
        <v/>
      </c>
      <c r="F15" s="31">
        <f>SUMIFS(Availability!$E$8:$E$46,Availability!$C$8:$C$46,$A15,Availability!$G$8:$G$46,"Available")</f>
        <v/>
      </c>
    </row>
    <row r="16" ht="18" customHeight="1">
      <c r="A16" s="27" t="n">
        <v>3</v>
      </c>
      <c r="B16" s="27">
        <f>COUNTIF(Availability!$C$8:$C$46,$A16)</f>
        <v/>
      </c>
      <c r="C16" s="28">
        <f>COUNTIFS(Availability!$C$8:$C$46,$A16,Availability!$G$8:$G$46,"Available")</f>
        <v/>
      </c>
      <c r="D16" s="27">
        <f>COUNTIFS(Availability!$C$8:$C$46,$A16,Availability!$G$8:$G$46,"Blocked")</f>
        <v/>
      </c>
      <c r="E16" s="27">
        <f>COUNTIFS(Availability!$C$8:$C$46,$A16,Availability!$G$8:$G$46,"Sold")</f>
        <v/>
      </c>
      <c r="F16" s="31">
        <f>SUMIFS(Availability!$E$8:$E$46,Availability!$C$8:$C$46,$A16,Availability!$G$8:$G$46,"Available")</f>
        <v/>
      </c>
    </row>
    <row r="17" ht="18" customHeight="1">
      <c r="A17" s="27" t="n">
        <v>4</v>
      </c>
      <c r="B17" s="27">
        <f>COUNTIF(Availability!$C$8:$C$46,$A17)</f>
        <v/>
      </c>
      <c r="C17" s="28">
        <f>COUNTIFS(Availability!$C$8:$C$46,$A17,Availability!$G$8:$G$46,"Available")</f>
        <v/>
      </c>
      <c r="D17" s="27">
        <f>COUNTIFS(Availability!$C$8:$C$46,$A17,Availability!$G$8:$G$46,"Blocked")</f>
        <v/>
      </c>
      <c r="E17" s="27">
        <f>COUNTIFS(Availability!$C$8:$C$46,$A17,Availability!$G$8:$G$46,"Sold")</f>
        <v/>
      </c>
      <c r="F17" s="31">
        <f>SUMIFS(Availability!$E$8:$E$46,Availability!$C$8:$C$46,$A17,Availability!$G$8:$G$46,"Available")</f>
        <v/>
      </c>
    </row>
    <row r="18" ht="18" customHeight="1">
      <c r="A18" s="27" t="n">
        <v>5</v>
      </c>
      <c r="B18" s="27">
        <f>COUNTIF(Availability!$C$8:$C$46,$A18)</f>
        <v/>
      </c>
      <c r="C18" s="28">
        <f>COUNTIFS(Availability!$C$8:$C$46,$A18,Availability!$G$8:$G$46,"Available")</f>
        <v/>
      </c>
      <c r="D18" s="27">
        <f>COUNTIFS(Availability!$C$8:$C$46,$A18,Availability!$G$8:$G$46,"Blocked")</f>
        <v/>
      </c>
      <c r="E18" s="27">
        <f>COUNTIFS(Availability!$C$8:$C$46,$A18,Availability!$G$8:$G$46,"Sold")</f>
        <v/>
      </c>
      <c r="F18" s="31">
        <f>SUMIFS(Availability!$E$8:$E$46,Availability!$C$8:$C$46,$A18,Availability!$G$8:$G$46,"Available")</f>
        <v/>
      </c>
    </row>
    <row r="19" ht="18" customHeight="1">
      <c r="A19" s="27" t="n">
        <v>6</v>
      </c>
      <c r="B19" s="27">
        <f>COUNTIF(Availability!$C$8:$C$46,$A19)</f>
        <v/>
      </c>
      <c r="C19" s="28">
        <f>COUNTIFS(Availability!$C$8:$C$46,$A19,Availability!$G$8:$G$46,"Available")</f>
        <v/>
      </c>
      <c r="D19" s="27">
        <f>COUNTIFS(Availability!$C$8:$C$46,$A19,Availability!$G$8:$G$46,"Blocked")</f>
        <v/>
      </c>
      <c r="E19" s="27">
        <f>COUNTIFS(Availability!$C$8:$C$46,$A19,Availability!$G$8:$G$46,"Sold")</f>
        <v/>
      </c>
      <c r="F19" s="31">
        <f>SUMIFS(Availability!$E$8:$E$46,Availability!$C$8:$C$46,$A19,Availability!$G$8:$G$46,"Available")</f>
        <v/>
      </c>
    </row>
    <row r="21">
      <c r="A21" s="24" t="inlineStr">
        <is>
          <t>SALEABLE VALUE</t>
        </is>
      </c>
    </row>
    <row r="22" ht="18" customHeight="1">
      <c r="A22" s="35" t="inlineStr">
        <is>
          <t>Total saleable area (sq ft)</t>
        </is>
      </c>
      <c r="B22" s="36">
        <f>F9</f>
        <v/>
      </c>
      <c r="C22" s="37" t="inlineStr">
        <is>
          <t>Blue figures on yellow are the two inputs — change them here.
Carried over from the original sheet; indicative only, the Cost Sheet governs pricing.</t>
        </is>
      </c>
    </row>
    <row r="23" ht="18" customHeight="1">
      <c r="A23" s="35" t="inlineStr">
        <is>
          <t>Rate per sq ft (₹)</t>
        </is>
      </c>
      <c r="B23" s="38" t="n">
        <v>8000</v>
      </c>
    </row>
    <row r="24" ht="18" customHeight="1">
      <c r="A24" s="35" t="inlineStr">
        <is>
          <t>Gross saleable value (₹)</t>
        </is>
      </c>
      <c r="B24" s="39">
        <f>B22*B23</f>
        <v/>
      </c>
    </row>
    <row r="25" ht="18" customHeight="1">
      <c r="A25" s="35" t="inlineStr">
        <is>
          <t>Gross saleable value (₹ Cr)</t>
        </is>
      </c>
      <c r="B25" s="40">
        <f>B24/10000000</f>
        <v/>
      </c>
    </row>
    <row r="26" ht="18" customHeight="1">
      <c r="A26" s="35" t="inlineStr">
        <is>
          <t>Brokerage rate</t>
        </is>
      </c>
      <c r="B26" s="41" t="n">
        <v>0.035</v>
      </c>
    </row>
    <row r="27" ht="18" customHeight="1">
      <c r="A27" s="35" t="inlineStr">
        <is>
          <t>Brokerage value (₹)</t>
        </is>
      </c>
      <c r="B27" s="39">
        <f>B24*B26</f>
        <v/>
      </c>
    </row>
    <row r="29">
      <c r="A29" s="24" t="inlineStr">
        <is>
          <t>HOW TO USE THIS FILE</t>
        </is>
      </c>
    </row>
    <row r="30" ht="18" customHeight="1">
      <c r="A30" s="42" t="inlineStr">
        <is>
          <t>Availability tab</t>
        </is>
      </c>
      <c r="B30" s="43" t="inlineStr">
        <is>
          <t>The working list. Use the drop-down in the Status column to set a unit to Available, Blocked or Sold.</t>
        </is>
      </c>
    </row>
    <row r="31" ht="18" customHeight="1">
      <c r="A31" s="42" t="inlineStr">
        <is>
          <t>Filter</t>
        </is>
      </c>
      <c r="B31" s="43" t="inlineStr">
        <is>
          <t>Click the arrow on any header to show only what you need — e.g. Status = Available, Type = 2 BHK.</t>
        </is>
      </c>
    </row>
    <row r="32" ht="18" customHeight="1">
      <c r="A32" s="42" t="inlineStr">
        <is>
          <t>Totals row</t>
        </is>
      </c>
      <c r="B32" s="43" t="inlineStr">
        <is>
          <t>The total at the bottom of the Availability tab counts only the rows the filter is showing.</t>
        </is>
      </c>
    </row>
    <row r="33" ht="18" customHeight="1">
      <c r="A33" s="42" t="inlineStr">
        <is>
          <t>This tab</t>
        </is>
      </c>
      <c r="B33" s="43" t="inlineStr">
        <is>
          <t>Recalculates on its own. Nothing here needs to be typed except the two yellow cells above.</t>
        </is>
      </c>
    </row>
  </sheetData>
  <mergeCells count="11">
    <mergeCell ref="A1:G1"/>
    <mergeCell ref="A21:G21"/>
    <mergeCell ref="B31:G31"/>
    <mergeCell ref="A4:G4"/>
    <mergeCell ref="B32:G32"/>
    <mergeCell ref="A2:G2"/>
    <mergeCell ref="A29:G29"/>
    <mergeCell ref="B30:G30"/>
    <mergeCell ref="A11:G11"/>
    <mergeCell ref="C22:G23"/>
    <mergeCell ref="B33:G33"/>
  </mergeCells>
  <pageMargins left="0.75" right="0.75" top="1" bottom="1" header="0.5" footer="0.5"/>
  <pageSetup orientation="portrait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0" customWidth="1" min="4" max="4"/>
    <col width="18" customWidth="1" min="5" max="5"/>
    <col width="15" customWidth="1" min="6" max="6"/>
    <col width="14" customWidth="1" min="7" max="7"/>
    <col width="30" customWidth="1" min="8" max="8"/>
  </cols>
  <sheetData>
    <row r="1" ht="34" customHeight="1">
      <c r="A1" s="1" t="inlineStr">
        <is>
          <t>SANVI AERO GARDENS</t>
        </is>
      </c>
    </row>
    <row r="2" ht="20" customHeight="1">
      <c r="A2" s="2" t="inlineStr">
        <is>
          <t>Unit Availability</t>
        </is>
      </c>
      <c r="F2" s="3" t="inlineStr">
        <is>
          <t>Last updated:  07 Sep 2026</t>
        </is>
      </c>
    </row>
    <row r="4" ht="16" customHeight="1">
      <c r="A4" s="4" t="inlineStr">
        <is>
          <t>TOTAL UNITS</t>
        </is>
      </c>
      <c r="B4" s="44" t="n"/>
      <c r="C4" s="6" t="inlineStr">
        <is>
          <t>AVAILABLE</t>
        </is>
      </c>
      <c r="D4" s="44" t="n"/>
      <c r="E4" s="7" t="inlineStr">
        <is>
          <t>BLOCKED</t>
        </is>
      </c>
      <c r="F4" s="44" t="n"/>
      <c r="G4" s="8" t="inlineStr">
        <is>
          <t>SOLD</t>
        </is>
      </c>
      <c r="H4" s="44" t="n"/>
    </row>
    <row r="5" ht="30" customHeight="1">
      <c r="A5" s="9">
        <f>COUNTA($B$8:$B$46)</f>
        <v/>
      </c>
      <c r="B5" s="44" t="n"/>
      <c r="C5" s="10">
        <f>COUNTIF($G$8:$G$46,"Available")</f>
        <v/>
      </c>
      <c r="D5" s="44" t="n"/>
      <c r="E5" s="11">
        <f>COUNTIF($G$8:$G$46,"Blocked")</f>
        <v/>
      </c>
      <c r="F5" s="44" t="n"/>
      <c r="G5" s="12">
        <f>COUNTIF($G$8:$G$46,"Sold")</f>
        <v/>
      </c>
      <c r="H5" s="44" t="n"/>
    </row>
    <row r="6" ht="7" customHeight="1"/>
    <row r="7" ht="30" customHeight="1">
      <c r="A7" s="13" t="inlineStr">
        <is>
          <t>S.No</t>
        </is>
      </c>
      <c r="B7" s="13" t="inlineStr">
        <is>
          <t>Unit No</t>
        </is>
      </c>
      <c r="C7" s="13" t="inlineStr">
        <is>
          <t>Floor</t>
        </is>
      </c>
      <c r="D7" s="13" t="inlineStr">
        <is>
          <t>Type</t>
        </is>
      </c>
      <c r="E7" s="13" t="inlineStr">
        <is>
          <t>Sale Area (Sq Ft)</t>
        </is>
      </c>
      <c r="F7" s="13" t="inlineStr">
        <is>
          <t>Facing</t>
        </is>
      </c>
      <c r="G7" s="13" t="inlineStr">
        <is>
          <t>Status</t>
        </is>
      </c>
      <c r="H7" s="13" t="inlineStr">
        <is>
          <t>Remarks</t>
        </is>
      </c>
    </row>
    <row r="8" ht="18" customHeight="1">
      <c r="A8" s="14">
        <f>IF(B8="","",ROW()-7)</f>
        <v/>
      </c>
      <c r="B8" s="14" t="n">
        <v>3</v>
      </c>
      <c r="C8" s="14" t="inlineStr">
        <is>
          <t>Ground</t>
        </is>
      </c>
      <c r="D8" s="14" t="inlineStr">
        <is>
          <t>1 BHK</t>
        </is>
      </c>
      <c r="E8" s="15" t="n">
        <v>720</v>
      </c>
      <c r="F8" s="16" t="inlineStr">
        <is>
          <t>West Facing</t>
        </is>
      </c>
      <c r="G8" s="17" t="inlineStr">
        <is>
          <t>Available</t>
        </is>
      </c>
      <c r="H8" s="18" t="inlineStr"/>
    </row>
    <row r="9" ht="18" customHeight="1">
      <c r="A9" s="14">
        <f>IF(B9="","",ROW()-7)</f>
        <v/>
      </c>
      <c r="B9" s="14" t="n">
        <v>19</v>
      </c>
      <c r="C9" s="14" t="inlineStr">
        <is>
          <t>Ground</t>
        </is>
      </c>
      <c r="D9" s="14" t="inlineStr">
        <is>
          <t>1 BHK</t>
        </is>
      </c>
      <c r="E9" s="15" t="n">
        <v>625</v>
      </c>
      <c r="F9" s="16" t="inlineStr">
        <is>
          <t>North Facing</t>
        </is>
      </c>
      <c r="G9" s="17" t="inlineStr">
        <is>
          <t>Available</t>
        </is>
      </c>
      <c r="H9" s="18" t="inlineStr"/>
    </row>
    <row r="10" ht="18" customHeight="1">
      <c r="A10" s="14">
        <f>IF(B10="","",ROW()-7)</f>
        <v/>
      </c>
      <c r="B10" s="14" t="n">
        <v>21</v>
      </c>
      <c r="C10" s="14" t="inlineStr">
        <is>
          <t>Ground</t>
        </is>
      </c>
      <c r="D10" s="14" t="inlineStr">
        <is>
          <t>1 BHK</t>
        </is>
      </c>
      <c r="E10" s="15" t="n">
        <v>625</v>
      </c>
      <c r="F10" s="16" t="inlineStr">
        <is>
          <t>North Facing</t>
        </is>
      </c>
      <c r="G10" s="17" t="inlineStr">
        <is>
          <t>Available</t>
        </is>
      </c>
      <c r="H10" s="18" t="inlineStr"/>
    </row>
    <row r="11" ht="18" customHeight="1">
      <c r="A11" s="14">
        <f>IF(B11="","",ROW()-7)</f>
        <v/>
      </c>
      <c r="B11" s="14" t="n">
        <v>126</v>
      </c>
      <c r="C11" s="14" t="n">
        <v>1</v>
      </c>
      <c r="D11" s="14" t="inlineStr">
        <is>
          <t>1 BHK</t>
        </is>
      </c>
      <c r="E11" s="15" t="n">
        <v>625</v>
      </c>
      <c r="F11" s="16" t="inlineStr">
        <is>
          <t>North Facing</t>
        </is>
      </c>
      <c r="G11" s="17" t="inlineStr">
        <is>
          <t>Available</t>
        </is>
      </c>
      <c r="H11" s="18" t="inlineStr"/>
    </row>
    <row r="12" ht="18" customHeight="1">
      <c r="A12" s="14">
        <f>IF(B12="","",ROW()-7)</f>
        <v/>
      </c>
      <c r="B12" s="14" t="n">
        <v>128</v>
      </c>
      <c r="C12" s="14" t="n">
        <v>1</v>
      </c>
      <c r="D12" s="14" t="inlineStr">
        <is>
          <t>1 BHK</t>
        </is>
      </c>
      <c r="E12" s="15" t="n">
        <v>625</v>
      </c>
      <c r="F12" s="16" t="inlineStr">
        <is>
          <t>West Facing</t>
        </is>
      </c>
      <c r="G12" s="17" t="inlineStr">
        <is>
          <t>Available</t>
        </is>
      </c>
      <c r="H12" s="18" t="inlineStr"/>
    </row>
    <row r="13" ht="18" customHeight="1">
      <c r="A13" s="14">
        <f>IF(B13="","",ROW()-7)</f>
        <v/>
      </c>
      <c r="B13" s="14" t="n">
        <v>132</v>
      </c>
      <c r="C13" s="14" t="n">
        <v>1</v>
      </c>
      <c r="D13" s="14" t="inlineStr">
        <is>
          <t>1 BHK</t>
        </is>
      </c>
      <c r="E13" s="15" t="n">
        <v>625</v>
      </c>
      <c r="F13" s="16" t="inlineStr">
        <is>
          <t>West Facing</t>
        </is>
      </c>
      <c r="G13" s="17" t="inlineStr">
        <is>
          <t>Available</t>
        </is>
      </c>
      <c r="H13" s="18" t="inlineStr"/>
    </row>
    <row r="14" ht="18" customHeight="1">
      <c r="A14" s="14">
        <f>IF(B14="","",ROW()-7)</f>
        <v/>
      </c>
      <c r="B14" s="14" t="n">
        <v>135</v>
      </c>
      <c r="C14" s="14" t="n">
        <v>1</v>
      </c>
      <c r="D14" s="14" t="inlineStr">
        <is>
          <t>1 BHK</t>
        </is>
      </c>
      <c r="E14" s="15" t="n">
        <v>625</v>
      </c>
      <c r="F14" s="16" t="inlineStr">
        <is>
          <t>West Facing</t>
        </is>
      </c>
      <c r="G14" s="17" t="inlineStr">
        <is>
          <t>Available</t>
        </is>
      </c>
      <c r="H14" s="18" t="inlineStr"/>
    </row>
    <row r="15" ht="18" customHeight="1">
      <c r="A15" s="14">
        <f>IF(B15="","",ROW()-7)</f>
        <v/>
      </c>
      <c r="B15" s="14" t="n">
        <v>203</v>
      </c>
      <c r="C15" s="14" t="n">
        <v>2</v>
      </c>
      <c r="D15" s="14" t="inlineStr">
        <is>
          <t>1 BHK</t>
        </is>
      </c>
      <c r="E15" s="15" t="n">
        <v>790</v>
      </c>
      <c r="F15" s="16" t="inlineStr">
        <is>
          <t>West Facing</t>
        </is>
      </c>
      <c r="G15" s="17" t="inlineStr">
        <is>
          <t>Available</t>
        </is>
      </c>
      <c r="H15" s="18" t="inlineStr"/>
    </row>
    <row r="16" ht="18" customHeight="1">
      <c r="A16" s="14">
        <f>IF(B16="","",ROW()-7)</f>
        <v/>
      </c>
      <c r="B16" s="14" t="n">
        <v>228</v>
      </c>
      <c r="C16" s="14" t="n">
        <v>2</v>
      </c>
      <c r="D16" s="14" t="inlineStr">
        <is>
          <t>1 BHK</t>
        </is>
      </c>
      <c r="E16" s="15" t="n">
        <v>625</v>
      </c>
      <c r="F16" s="16" t="inlineStr">
        <is>
          <t>West Facing</t>
        </is>
      </c>
      <c r="G16" s="17" t="inlineStr">
        <is>
          <t>Available</t>
        </is>
      </c>
      <c r="H16" s="18" t="inlineStr"/>
    </row>
    <row r="17" ht="18" customHeight="1">
      <c r="A17" s="14">
        <f>IF(B17="","",ROW()-7)</f>
        <v/>
      </c>
      <c r="B17" s="14" t="n">
        <v>232</v>
      </c>
      <c r="C17" s="14" t="n">
        <v>2</v>
      </c>
      <c r="D17" s="14" t="inlineStr">
        <is>
          <t>1 BHK</t>
        </is>
      </c>
      <c r="E17" s="15" t="n">
        <v>625</v>
      </c>
      <c r="F17" s="16" t="inlineStr">
        <is>
          <t>West Facing</t>
        </is>
      </c>
      <c r="G17" s="17" t="inlineStr">
        <is>
          <t>Available</t>
        </is>
      </c>
      <c r="H17" s="18" t="inlineStr"/>
    </row>
    <row r="18" ht="18" customHeight="1">
      <c r="A18" s="14">
        <f>IF(B18="","",ROW()-7)</f>
        <v/>
      </c>
      <c r="B18" s="14" t="n">
        <v>324</v>
      </c>
      <c r="C18" s="14" t="n">
        <v>3</v>
      </c>
      <c r="D18" s="14" t="inlineStr">
        <is>
          <t>1 BHK</t>
        </is>
      </c>
      <c r="E18" s="15" t="n">
        <v>625</v>
      </c>
      <c r="F18" s="16" t="inlineStr">
        <is>
          <t>West Facing</t>
        </is>
      </c>
      <c r="G18" s="17" t="inlineStr">
        <is>
          <t>Available</t>
        </is>
      </c>
      <c r="H18" s="18" t="inlineStr"/>
    </row>
    <row r="19" ht="18" customHeight="1">
      <c r="A19" s="14">
        <f>IF(B19="","",ROW()-7)</f>
        <v/>
      </c>
      <c r="B19" s="14" t="n">
        <v>328</v>
      </c>
      <c r="C19" s="14" t="n">
        <v>3</v>
      </c>
      <c r="D19" s="14" t="inlineStr">
        <is>
          <t>1 BHK</t>
        </is>
      </c>
      <c r="E19" s="15" t="n">
        <v>625</v>
      </c>
      <c r="F19" s="16" t="inlineStr">
        <is>
          <t>West Facing</t>
        </is>
      </c>
      <c r="G19" s="17" t="inlineStr">
        <is>
          <t>Available</t>
        </is>
      </c>
      <c r="H19" s="18" t="inlineStr"/>
    </row>
    <row r="20" ht="18" customHeight="1">
      <c r="A20" s="14">
        <f>IF(B20="","",ROW()-7)</f>
        <v/>
      </c>
      <c r="B20" s="14" t="n">
        <v>428</v>
      </c>
      <c r="C20" s="14" t="n">
        <v>4</v>
      </c>
      <c r="D20" s="14" t="inlineStr">
        <is>
          <t>1 BHK</t>
        </is>
      </c>
      <c r="E20" s="15" t="n">
        <v>625</v>
      </c>
      <c r="F20" s="16" t="inlineStr">
        <is>
          <t>West Facing</t>
        </is>
      </c>
      <c r="G20" s="17" t="inlineStr">
        <is>
          <t>Available</t>
        </is>
      </c>
      <c r="H20" s="18" t="inlineStr"/>
    </row>
    <row r="21" ht="18" customHeight="1">
      <c r="A21" s="14">
        <f>IF(B21="","",ROW()-7)</f>
        <v/>
      </c>
      <c r="B21" s="14" t="n">
        <v>524</v>
      </c>
      <c r="C21" s="14" t="n">
        <v>5</v>
      </c>
      <c r="D21" s="14" t="inlineStr">
        <is>
          <t>1 BHK</t>
        </is>
      </c>
      <c r="E21" s="15" t="n">
        <v>625</v>
      </c>
      <c r="F21" s="16" t="inlineStr">
        <is>
          <t>West Facing</t>
        </is>
      </c>
      <c r="G21" s="17" t="inlineStr">
        <is>
          <t>Available</t>
        </is>
      </c>
      <c r="H21" s="18" t="inlineStr"/>
    </row>
    <row r="22" ht="18" customHeight="1">
      <c r="A22" s="14">
        <f>IF(B22="","",ROW()-7)</f>
        <v/>
      </c>
      <c r="B22" s="14" t="n">
        <v>603</v>
      </c>
      <c r="C22" s="14" t="n">
        <v>6</v>
      </c>
      <c r="D22" s="14" t="inlineStr">
        <is>
          <t>1 BHK</t>
        </is>
      </c>
      <c r="E22" s="15" t="n">
        <v>790</v>
      </c>
      <c r="F22" s="16" t="inlineStr">
        <is>
          <t>West Facing</t>
        </is>
      </c>
      <c r="G22" s="17" t="inlineStr">
        <is>
          <t>Available</t>
        </is>
      </c>
      <c r="H22" s="18" t="inlineStr"/>
    </row>
    <row r="23" ht="18" customHeight="1">
      <c r="A23" s="14">
        <f>IF(B23="","",ROW()-7)</f>
        <v/>
      </c>
      <c r="B23" s="14" t="n">
        <v>7</v>
      </c>
      <c r="C23" s="14" t="inlineStr">
        <is>
          <t>Ground</t>
        </is>
      </c>
      <c r="D23" s="14" t="inlineStr">
        <is>
          <t>2 BHK</t>
        </is>
      </c>
      <c r="E23" s="15" t="n">
        <v>925</v>
      </c>
      <c r="F23" s="16" t="inlineStr">
        <is>
          <t>East Facing</t>
        </is>
      </c>
      <c r="G23" s="17" t="inlineStr">
        <is>
          <t>Available</t>
        </is>
      </c>
      <c r="H23" s="18" t="inlineStr"/>
    </row>
    <row r="24" ht="18" customHeight="1">
      <c r="A24" s="14">
        <f>IF(B24="","",ROW()-7)</f>
        <v/>
      </c>
      <c r="B24" s="14" t="n">
        <v>9</v>
      </c>
      <c r="C24" s="14" t="inlineStr">
        <is>
          <t>Ground</t>
        </is>
      </c>
      <c r="D24" s="14" t="inlineStr">
        <is>
          <t>2 BHK</t>
        </is>
      </c>
      <c r="E24" s="15" t="n">
        <v>925</v>
      </c>
      <c r="F24" s="16" t="inlineStr">
        <is>
          <t>East Facing</t>
        </is>
      </c>
      <c r="G24" s="17" t="inlineStr">
        <is>
          <t>Available</t>
        </is>
      </c>
      <c r="H24" s="18" t="inlineStr"/>
    </row>
    <row r="25" ht="18" customHeight="1">
      <c r="A25" s="14">
        <f>IF(B25="","",ROW()-7)</f>
        <v/>
      </c>
      <c r="B25" s="14" t="n">
        <v>12</v>
      </c>
      <c r="C25" s="14" t="inlineStr">
        <is>
          <t>Ground</t>
        </is>
      </c>
      <c r="D25" s="14" t="inlineStr">
        <is>
          <t>2 BHK</t>
        </is>
      </c>
      <c r="E25" s="15" t="n">
        <v>925</v>
      </c>
      <c r="F25" s="16" t="inlineStr">
        <is>
          <t>East Facing</t>
        </is>
      </c>
      <c r="G25" s="17" t="inlineStr">
        <is>
          <t>Available</t>
        </is>
      </c>
      <c r="H25" s="18" t="inlineStr"/>
    </row>
    <row r="26" ht="18" customHeight="1">
      <c r="A26" s="14">
        <f>IF(B26="","",ROW()-7)</f>
        <v/>
      </c>
      <c r="B26" s="14" t="n">
        <v>20</v>
      </c>
      <c r="C26" s="14" t="inlineStr">
        <is>
          <t>Ground</t>
        </is>
      </c>
      <c r="D26" s="14" t="inlineStr">
        <is>
          <t>2 BHK</t>
        </is>
      </c>
      <c r="E26" s="15" t="n">
        <v>960</v>
      </c>
      <c r="F26" s="16" t="inlineStr">
        <is>
          <t>North Facing</t>
        </is>
      </c>
      <c r="G26" s="17" t="inlineStr">
        <is>
          <t>Available</t>
        </is>
      </c>
      <c r="H26" s="18" t="inlineStr"/>
    </row>
    <row r="27" ht="18" customHeight="1">
      <c r="A27" s="14">
        <f>IF(B27="","",ROW()-7)</f>
        <v/>
      </c>
      <c r="B27" s="14" t="n">
        <v>120</v>
      </c>
      <c r="C27" s="14" t="n">
        <v>1</v>
      </c>
      <c r="D27" s="14" t="inlineStr">
        <is>
          <t>2 BHK</t>
        </is>
      </c>
      <c r="E27" s="15" t="n">
        <v>1090</v>
      </c>
      <c r="F27" s="16" t="inlineStr">
        <is>
          <t>North Facing</t>
        </is>
      </c>
      <c r="G27" s="17" t="inlineStr">
        <is>
          <t>Available</t>
        </is>
      </c>
      <c r="H27" s="18" t="inlineStr"/>
    </row>
    <row r="28" ht="18" customHeight="1">
      <c r="A28" s="14">
        <f>IF(B28="","",ROW()-7)</f>
        <v/>
      </c>
      <c r="B28" s="14" t="n">
        <v>131</v>
      </c>
      <c r="C28" s="14" t="n">
        <v>1</v>
      </c>
      <c r="D28" s="14" t="inlineStr">
        <is>
          <t>2 BHK</t>
        </is>
      </c>
      <c r="E28" s="15" t="n">
        <v>955</v>
      </c>
      <c r="F28" s="16" t="inlineStr">
        <is>
          <t>West Facing</t>
        </is>
      </c>
      <c r="G28" s="17" t="inlineStr">
        <is>
          <t>Available</t>
        </is>
      </c>
      <c r="H28" s="18" t="inlineStr"/>
    </row>
    <row r="29" ht="18" customHeight="1">
      <c r="A29" s="14">
        <f>IF(B29="","",ROW()-7)</f>
        <v/>
      </c>
      <c r="B29" s="14" t="n">
        <v>231</v>
      </c>
      <c r="C29" s="14" t="n">
        <v>2</v>
      </c>
      <c r="D29" s="14" t="inlineStr">
        <is>
          <t>2 BHK</t>
        </is>
      </c>
      <c r="E29" s="15" t="n">
        <v>1075</v>
      </c>
      <c r="F29" s="16" t="inlineStr">
        <is>
          <t>West Facing</t>
        </is>
      </c>
      <c r="G29" s="17" t="inlineStr">
        <is>
          <t>Available</t>
        </is>
      </c>
      <c r="H29" s="18" t="inlineStr"/>
    </row>
    <row r="30" ht="18" customHeight="1">
      <c r="A30" s="14">
        <f>IF(B30="","",ROW()-7)</f>
        <v/>
      </c>
      <c r="B30" s="14" t="n">
        <v>236</v>
      </c>
      <c r="C30" s="14" t="n">
        <v>2</v>
      </c>
      <c r="D30" s="14" t="inlineStr">
        <is>
          <t>2 BHK</t>
        </is>
      </c>
      <c r="E30" s="15" t="n">
        <v>1100</v>
      </c>
      <c r="F30" s="16" t="inlineStr">
        <is>
          <t>North Facing</t>
        </is>
      </c>
      <c r="G30" s="17" t="inlineStr">
        <is>
          <t>Available</t>
        </is>
      </c>
      <c r="H30" s="18" t="inlineStr"/>
    </row>
    <row r="31" ht="18" customHeight="1">
      <c r="A31" s="14">
        <f>IF(B31="","",ROW()-7)</f>
        <v/>
      </c>
      <c r="B31" s="14" t="n">
        <v>238</v>
      </c>
      <c r="C31" s="14" t="n">
        <v>2</v>
      </c>
      <c r="D31" s="14" t="inlineStr">
        <is>
          <t>2 BHK</t>
        </is>
      </c>
      <c r="E31" s="15" t="n">
        <v>1055</v>
      </c>
      <c r="F31" s="16" t="inlineStr">
        <is>
          <t>West Facing</t>
        </is>
      </c>
      <c r="G31" s="17" t="inlineStr">
        <is>
          <t>Available</t>
        </is>
      </c>
      <c r="H31" s="18" t="inlineStr"/>
    </row>
    <row r="32" ht="18" customHeight="1">
      <c r="A32" s="14">
        <f>IF(B32="","",ROW()-7)</f>
        <v/>
      </c>
      <c r="B32" s="14" t="n">
        <v>304</v>
      </c>
      <c r="C32" s="14" t="n">
        <v>3</v>
      </c>
      <c r="D32" s="14" t="inlineStr">
        <is>
          <t>2 BHK</t>
        </is>
      </c>
      <c r="E32" s="15" t="n">
        <v>1040</v>
      </c>
      <c r="F32" s="16" t="inlineStr">
        <is>
          <t>East Facing</t>
        </is>
      </c>
      <c r="G32" s="17" t="inlineStr">
        <is>
          <t>Available</t>
        </is>
      </c>
      <c r="H32" s="18" t="inlineStr"/>
    </row>
    <row r="33" ht="18" customHeight="1">
      <c r="A33" s="14">
        <f>IF(B33="","",ROW()-7)</f>
        <v/>
      </c>
      <c r="B33" s="14" t="n">
        <v>318</v>
      </c>
      <c r="C33" s="14" t="n">
        <v>3</v>
      </c>
      <c r="D33" s="14" t="inlineStr">
        <is>
          <t>2 BHK</t>
        </is>
      </c>
      <c r="E33" s="15" t="n">
        <v>925</v>
      </c>
      <c r="F33" s="16" t="inlineStr">
        <is>
          <t>East Facing</t>
        </is>
      </c>
      <c r="G33" s="17" t="inlineStr">
        <is>
          <t>Available</t>
        </is>
      </c>
      <c r="H33" s="18" t="inlineStr"/>
    </row>
    <row r="34" ht="18" customHeight="1">
      <c r="A34" s="14">
        <f>IF(B34="","",ROW()-7)</f>
        <v/>
      </c>
      <c r="B34" s="14" t="n">
        <v>401</v>
      </c>
      <c r="C34" s="14" t="n">
        <v>4</v>
      </c>
      <c r="D34" s="14" t="inlineStr">
        <is>
          <t>2 BHK</t>
        </is>
      </c>
      <c r="E34" s="15" t="n">
        <v>900</v>
      </c>
      <c r="F34" s="16" t="inlineStr">
        <is>
          <t>South Facing</t>
        </is>
      </c>
      <c r="G34" s="17" t="inlineStr">
        <is>
          <t>Available</t>
        </is>
      </c>
      <c r="H34" s="18" t="inlineStr"/>
    </row>
    <row r="35" ht="18" customHeight="1">
      <c r="A35" s="14">
        <f>IF(B35="","",ROW()-7)</f>
        <v/>
      </c>
      <c r="B35" s="14" t="n">
        <v>501</v>
      </c>
      <c r="C35" s="14" t="n">
        <v>5</v>
      </c>
      <c r="D35" s="14" t="inlineStr">
        <is>
          <t>2 BHK</t>
        </is>
      </c>
      <c r="E35" s="15" t="n">
        <v>900</v>
      </c>
      <c r="F35" s="16" t="inlineStr">
        <is>
          <t>South Facing</t>
        </is>
      </c>
      <c r="G35" s="17" t="inlineStr">
        <is>
          <t>Available</t>
        </is>
      </c>
      <c r="H35" s="18" t="inlineStr"/>
    </row>
    <row r="36" ht="18" customHeight="1">
      <c r="A36" s="14">
        <f>IF(B36="","",ROW()-7)</f>
        <v/>
      </c>
      <c r="B36" s="14" t="n">
        <v>614</v>
      </c>
      <c r="C36" s="14" t="n">
        <v>6</v>
      </c>
      <c r="D36" s="14" t="inlineStr">
        <is>
          <t>2 BHK</t>
        </is>
      </c>
      <c r="E36" s="15" t="n">
        <v>925</v>
      </c>
      <c r="F36" s="16" t="inlineStr">
        <is>
          <t>East Facing</t>
        </is>
      </c>
      <c r="G36" s="17" t="inlineStr">
        <is>
          <t>Available</t>
        </is>
      </c>
      <c r="H36" s="18" t="inlineStr"/>
    </row>
    <row r="37" ht="18" customHeight="1">
      <c r="A37" s="14">
        <f>IF(B37="","",ROW()-7)</f>
        <v/>
      </c>
      <c r="B37" s="14" t="n">
        <v>616</v>
      </c>
      <c r="C37" s="14" t="n">
        <v>6</v>
      </c>
      <c r="D37" s="14" t="inlineStr">
        <is>
          <t>2 BHK</t>
        </is>
      </c>
      <c r="E37" s="15" t="n">
        <v>925</v>
      </c>
      <c r="F37" s="16" t="inlineStr">
        <is>
          <t>East Facing</t>
        </is>
      </c>
      <c r="G37" s="17" t="inlineStr">
        <is>
          <t>Available</t>
        </is>
      </c>
      <c r="H37" s="18" t="inlineStr"/>
    </row>
    <row r="38" ht="18" customHeight="1">
      <c r="A38" s="14">
        <f>IF(B38="","",ROW()-7)</f>
        <v/>
      </c>
      <c r="B38" s="14" t="n">
        <v>618</v>
      </c>
      <c r="C38" s="14" t="n">
        <v>6</v>
      </c>
      <c r="D38" s="14" t="inlineStr">
        <is>
          <t>2 BHK</t>
        </is>
      </c>
      <c r="E38" s="15" t="n">
        <v>925</v>
      </c>
      <c r="F38" s="16" t="inlineStr">
        <is>
          <t>East Facing</t>
        </is>
      </c>
      <c r="G38" s="17" t="inlineStr">
        <is>
          <t>Available</t>
        </is>
      </c>
      <c r="H38" s="18" t="inlineStr"/>
    </row>
    <row r="39" ht="18" customHeight="1">
      <c r="A39" s="14">
        <f>IF(B39="","",ROW()-7)</f>
        <v/>
      </c>
      <c r="B39" s="14" t="n">
        <v>18</v>
      </c>
      <c r="C39" s="14" t="inlineStr">
        <is>
          <t>Ground</t>
        </is>
      </c>
      <c r="D39" s="14" t="inlineStr">
        <is>
          <t>3 BHK</t>
        </is>
      </c>
      <c r="E39" s="15" t="n">
        <v>1265</v>
      </c>
      <c r="F39" s="16" t="inlineStr">
        <is>
          <t>East Facing</t>
        </is>
      </c>
      <c r="G39" s="17" t="inlineStr">
        <is>
          <t>Available</t>
        </is>
      </c>
      <c r="H39" s="18" t="inlineStr"/>
    </row>
    <row r="40" ht="18" customHeight="1">
      <c r="A40" s="14">
        <f>IF(B40="","",ROW()-7)</f>
        <v/>
      </c>
      <c r="B40" s="14" t="n">
        <v>127</v>
      </c>
      <c r="C40" s="14" t="n">
        <v>1</v>
      </c>
      <c r="D40" s="14" t="inlineStr">
        <is>
          <t>3 BHK</t>
        </is>
      </c>
      <c r="E40" s="15" t="n">
        <v>1265</v>
      </c>
      <c r="F40" s="16" t="inlineStr">
        <is>
          <t>East Facing</t>
        </is>
      </c>
      <c r="G40" s="17" t="inlineStr">
        <is>
          <t>Available</t>
        </is>
      </c>
      <c r="H40" s="18" t="inlineStr"/>
    </row>
    <row r="41" ht="18" customHeight="1">
      <c r="A41" s="14">
        <f>IF(B41="","",ROW()-7)</f>
        <v/>
      </c>
      <c r="B41" s="14" t="n">
        <v>227</v>
      </c>
      <c r="C41" s="14" t="n">
        <v>2</v>
      </c>
      <c r="D41" s="14" t="inlineStr">
        <is>
          <t>3 BHK</t>
        </is>
      </c>
      <c r="E41" s="15" t="n">
        <v>1265</v>
      </c>
      <c r="F41" s="16" t="inlineStr">
        <is>
          <t>East Facing</t>
        </is>
      </c>
      <c r="G41" s="17" t="inlineStr">
        <is>
          <t>Available</t>
        </is>
      </c>
      <c r="H41" s="18" t="inlineStr"/>
    </row>
    <row r="42" ht="18" customHeight="1">
      <c r="A42" s="14">
        <f>IF(B42="","",ROW()-7)</f>
        <v/>
      </c>
      <c r="B42" s="14" t="n">
        <v>237</v>
      </c>
      <c r="C42" s="14" t="n">
        <v>2</v>
      </c>
      <c r="D42" s="14" t="inlineStr">
        <is>
          <t>3 BHK</t>
        </is>
      </c>
      <c r="E42" s="15" t="n">
        <v>1395</v>
      </c>
      <c r="F42" s="16" t="inlineStr">
        <is>
          <t>West Facing</t>
        </is>
      </c>
      <c r="G42" s="17" t="inlineStr">
        <is>
          <t>Available</t>
        </is>
      </c>
      <c r="H42" s="18" t="inlineStr"/>
    </row>
    <row r="43" ht="18" customHeight="1">
      <c r="A43" s="14">
        <f>IF(B43="","",ROW()-7)</f>
        <v/>
      </c>
      <c r="B43" s="14" t="n">
        <v>327</v>
      </c>
      <c r="C43" s="14" t="n">
        <v>3</v>
      </c>
      <c r="D43" s="14" t="inlineStr">
        <is>
          <t>3 BHK</t>
        </is>
      </c>
      <c r="E43" s="15" t="n">
        <v>1265</v>
      </c>
      <c r="F43" s="16" t="inlineStr">
        <is>
          <t>East Facing</t>
        </is>
      </c>
      <c r="G43" s="17" t="inlineStr">
        <is>
          <t>Available</t>
        </is>
      </c>
      <c r="H43" s="18" t="inlineStr"/>
    </row>
    <row r="44" ht="18" customHeight="1">
      <c r="A44" s="14">
        <f>IF(B44="","",ROW()-7)</f>
        <v/>
      </c>
      <c r="B44" s="14" t="n">
        <v>337</v>
      </c>
      <c r="C44" s="14" t="n">
        <v>3</v>
      </c>
      <c r="D44" s="14" t="inlineStr">
        <is>
          <t>3 BHK</t>
        </is>
      </c>
      <c r="E44" s="15" t="n">
        <v>1395</v>
      </c>
      <c r="F44" s="16" t="inlineStr">
        <is>
          <t>West Facing</t>
        </is>
      </c>
      <c r="G44" s="17" t="inlineStr">
        <is>
          <t>Available</t>
        </is>
      </c>
      <c r="H44" s="18" t="inlineStr"/>
    </row>
    <row r="45" ht="18" customHeight="1">
      <c r="A45" s="14">
        <f>IF(B45="","",ROW()-7)</f>
        <v/>
      </c>
      <c r="B45" s="14" t="n">
        <v>437</v>
      </c>
      <c r="C45" s="14" t="n">
        <v>4</v>
      </c>
      <c r="D45" s="14" t="inlineStr">
        <is>
          <t>3 BHK</t>
        </is>
      </c>
      <c r="E45" s="15" t="n">
        <v>1395</v>
      </c>
      <c r="F45" s="16" t="inlineStr">
        <is>
          <t>West Facing</t>
        </is>
      </c>
      <c r="G45" s="17" t="inlineStr">
        <is>
          <t>Available</t>
        </is>
      </c>
      <c r="H45" s="18" t="inlineStr"/>
    </row>
    <row r="46" ht="18" customHeight="1">
      <c r="A46" s="14">
        <f>IF(B46="","",ROW()-7)</f>
        <v/>
      </c>
      <c r="B46" s="14" t="n">
        <v>637</v>
      </c>
      <c r="C46" s="14" t="n">
        <v>6</v>
      </c>
      <c r="D46" s="14" t="inlineStr">
        <is>
          <t>3 BHK</t>
        </is>
      </c>
      <c r="E46" s="15" t="n">
        <v>1395</v>
      </c>
      <c r="F46" s="16" t="inlineStr">
        <is>
          <t>West Facing</t>
        </is>
      </c>
      <c r="G46" s="17" t="inlineStr">
        <is>
          <t>Available</t>
        </is>
      </c>
      <c r="H46" s="18" t="inlineStr"/>
    </row>
    <row r="47" ht="22" customHeight="1">
      <c r="A47" s="19" t="inlineStr">
        <is>
          <t>TOTAL  (of rows currently shown)</t>
        </is>
      </c>
      <c r="B47" s="45" t="n"/>
      <c r="C47" s="45" t="n"/>
      <c r="D47" s="44" t="n"/>
      <c r="E47" s="21">
        <f>SUBTOTAL(109,E8:E46)</f>
        <v/>
      </c>
      <c r="F47" s="20" t="n"/>
      <c r="G47" s="22">
        <f>SUBTOTAL(103,G8:G46)&amp;" units"</f>
        <v/>
      </c>
      <c r="H47" s="20" t="n"/>
    </row>
  </sheetData>
  <autoFilter ref="A7:H46"/>
  <mergeCells count="12">
    <mergeCell ref="A4:B4"/>
    <mergeCell ref="G4:H4"/>
    <mergeCell ref="E4:F4"/>
    <mergeCell ref="A2:E2"/>
    <mergeCell ref="C5:D5"/>
    <mergeCell ref="A5:B5"/>
    <mergeCell ref="G5:H5"/>
    <mergeCell ref="E5:F5"/>
    <mergeCell ref="F2:H2"/>
    <mergeCell ref="A1:H1"/>
    <mergeCell ref="A47:D47"/>
    <mergeCell ref="C4:D4"/>
  </mergeCells>
  <conditionalFormatting sqref="A8:H46">
    <cfRule type="expression" priority="1" dxfId="0" stopIfTrue="0">
      <formula>$G8="Available"</formula>
    </cfRule>
    <cfRule type="expression" priority="2" dxfId="1" stopIfTrue="0">
      <formula>$G8="Blocked"</formula>
    </cfRule>
    <cfRule type="expression" priority="3" dxfId="2" stopIfTrue="0">
      <formula>$G8="Sold"</formula>
    </cfRule>
  </conditionalFormatting>
  <dataValidations count="1">
    <dataValidation sqref="G8:G46" showDropDown="0" showInputMessage="0" showErrorMessage="0" allowBlank="0" errorTitle="Not a valid status" error="Choose Available, Blocked or Sold from the drop-down." promptTitle="Status" prompt="Pick from the drop-down." type="list">
      <formula1>"Available,Blocked,Sold"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2026-09-07T08:05:12Z</dcterms:created>
  <dcterms:modified xmlns:dcterms="http://purl.org/dc/terms/" xmlns:xsi="http://www.w3.org/2001/XMLSchema-instance" xsi:type="dcterms:W3CDTF">2026-09-07T08:06:02Z</dcterms:modified>
</cp:coreProperties>
</file>